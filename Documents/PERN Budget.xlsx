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NHITSTRATEGY\"/>
    </mc:Choice>
  </mc:AlternateContent>
  <xr:revisionPtr revIDLastSave="0" documentId="13_ncr:1_{8B7A1EA8-1705-4437-913B-C68C79D7F684}" xr6:coauthVersionLast="47" xr6:coauthVersionMax="47" xr10:uidLastSave="{00000000-0000-0000-0000-000000000000}"/>
  <bookViews>
    <workbookView xWindow="-120" yWindow="-120" windowWidth="29040" windowHeight="15720" xr2:uid="{DAB893AE-C071-44A2-BF76-5D5E3AAC9802}"/>
  </bookViews>
  <sheets>
    <sheet name="Sheet1" sheetId="1" r:id="rId1"/>
  </sheets>
  <definedNames>
    <definedName name="_xlnm.Print_Area" localSheetId="0">Sheet1!$A$2:$J$93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G80" i="1"/>
  <c r="G74" i="1"/>
  <c r="G72" i="1"/>
  <c r="G93" i="1" s="1"/>
  <c r="C60" i="1"/>
  <c r="F52" i="1"/>
  <c r="F50" i="1"/>
  <c r="C49" i="1"/>
  <c r="E9" i="1"/>
  <c r="D9" i="1"/>
  <c r="C9" i="1"/>
  <c r="G8" i="1"/>
  <c r="F4" i="1"/>
  <c r="F47" i="1" s="1"/>
  <c r="G3" i="1"/>
  <c r="G4" i="1" s="1"/>
  <c r="G1" i="1"/>
  <c r="F91" i="1" l="1"/>
  <c r="C4" i="1"/>
  <c r="F5" i="1"/>
  <c r="F10" i="1"/>
  <c r="F12" i="1"/>
  <c r="F17" i="1"/>
  <c r="F23" i="1"/>
  <c r="F30" i="1"/>
  <c r="F33" i="1"/>
  <c r="F37" i="1"/>
  <c r="F39" i="1"/>
  <c r="F42" i="1"/>
  <c r="F46" i="1"/>
  <c r="F48" i="1"/>
  <c r="F61" i="1"/>
  <c r="D4" i="1"/>
  <c r="F51" i="1"/>
  <c r="F53" i="1"/>
  <c r="F57" i="1"/>
  <c r="F59" i="1"/>
  <c r="F54" i="1"/>
  <c r="E4" i="1"/>
  <c r="F92" i="1"/>
  <c r="F58" i="1"/>
  <c r="F11" i="1"/>
  <c r="F13" i="1"/>
  <c r="F22" i="1"/>
  <c r="F29" i="1"/>
  <c r="F32" i="1"/>
  <c r="F35" i="1"/>
  <c r="F38" i="1"/>
  <c r="F40" i="1"/>
  <c r="F45" i="1"/>
  <c r="D59" i="1" l="1"/>
  <c r="D46" i="1"/>
  <c r="D33" i="1"/>
  <c r="D17" i="1"/>
  <c r="D5" i="1"/>
  <c r="D91" i="1"/>
  <c r="D61" i="1"/>
  <c r="D58" i="1"/>
  <c r="D54" i="1"/>
  <c r="D52" i="1"/>
  <c r="D50" i="1"/>
  <c r="D47" i="1"/>
  <c r="D45" i="1"/>
  <c r="D40" i="1"/>
  <c r="D38" i="1"/>
  <c r="D35" i="1"/>
  <c r="D32" i="1"/>
  <c r="D29" i="1"/>
  <c r="D22" i="1"/>
  <c r="D13" i="1"/>
  <c r="D11" i="1"/>
  <c r="D57" i="1"/>
  <c r="D37" i="1"/>
  <c r="D12" i="1"/>
  <c r="D53" i="1"/>
  <c r="D39" i="1"/>
  <c r="D23" i="1"/>
  <c r="D92" i="1"/>
  <c r="D51" i="1"/>
  <c r="D48" i="1"/>
  <c r="D42" i="1"/>
  <c r="D30" i="1"/>
  <c r="D10" i="1"/>
  <c r="E48" i="1"/>
  <c r="E46" i="1"/>
  <c r="E33" i="1"/>
  <c r="E12" i="1"/>
  <c r="E91" i="1"/>
  <c r="E58" i="1"/>
  <c r="E54" i="1"/>
  <c r="E52" i="1"/>
  <c r="E50" i="1"/>
  <c r="E13" i="1"/>
  <c r="E47" i="1"/>
  <c r="E45" i="1"/>
  <c r="E40" i="1"/>
  <c r="E38" i="1"/>
  <c r="E35" i="1"/>
  <c r="E32" i="1"/>
  <c r="E29" i="1"/>
  <c r="E22" i="1"/>
  <c r="E11" i="1"/>
  <c r="E37" i="1"/>
  <c r="E17" i="1"/>
  <c r="E92" i="1"/>
  <c r="E42" i="1"/>
  <c r="E23" i="1"/>
  <c r="E5" i="1"/>
  <c r="E59" i="1"/>
  <c r="E57" i="1"/>
  <c r="E53" i="1"/>
  <c r="E51" i="1"/>
  <c r="E39" i="1"/>
  <c r="E30" i="1"/>
  <c r="E10" i="1"/>
  <c r="E61" i="1"/>
  <c r="C92" i="1"/>
  <c r="C59" i="1"/>
  <c r="C53" i="1"/>
  <c r="C42" i="1"/>
  <c r="C30" i="1"/>
  <c r="C12" i="1"/>
  <c r="C91" i="1"/>
  <c r="C61" i="1"/>
  <c r="C23" i="1"/>
  <c r="C5" i="1"/>
  <c r="C58" i="1"/>
  <c r="C54" i="1"/>
  <c r="C52" i="1"/>
  <c r="C50" i="1"/>
  <c r="C57" i="1"/>
  <c r="C48" i="1"/>
  <c r="C46" i="1"/>
  <c r="C39" i="1"/>
  <c r="C17" i="1"/>
  <c r="C47" i="1"/>
  <c r="C45" i="1"/>
  <c r="C40" i="1"/>
  <c r="C38" i="1"/>
  <c r="C35" i="1"/>
  <c r="C32" i="1"/>
  <c r="C29" i="1"/>
  <c r="C22" i="1"/>
  <c r="C13" i="1"/>
  <c r="C11" i="1"/>
  <c r="C51" i="1"/>
  <c r="C37" i="1"/>
  <c r="C10" i="1"/>
  <c r="C33" i="1"/>
  <c r="F93" i="1"/>
  <c r="D93" i="1" l="1"/>
  <c r="E93" i="1"/>
  <c r="C93" i="1"/>
</calcChain>
</file>

<file path=xl/sharedStrings.xml><?xml version="1.0" encoding="utf-8"?>
<sst xmlns="http://schemas.openxmlformats.org/spreadsheetml/2006/main" count="364" uniqueCount="115">
  <si>
    <t>Cost Classification</t>
  </si>
  <si>
    <t>Details</t>
  </si>
  <si>
    <t>NH</t>
  </si>
  <si>
    <t>EIIC</t>
  </si>
  <si>
    <t>Petromal</t>
  </si>
  <si>
    <t>Rise</t>
  </si>
  <si>
    <t>Total Budget 26</t>
  </si>
  <si>
    <t>Actual</t>
  </si>
  <si>
    <t>Nature</t>
  </si>
  <si>
    <t>Business Term</t>
  </si>
  <si>
    <t>No of employees</t>
  </si>
  <si>
    <t>Sharing percentage</t>
  </si>
  <si>
    <t>OPEX</t>
  </si>
  <si>
    <t>Annual Maintenance for Data Center Equipment, Backup System, Consumables, Dell EMC Ultrium 8 LTO Data Cartridge, Storage &amp; Software</t>
  </si>
  <si>
    <t>BAU</t>
  </si>
  <si>
    <t>Network Components</t>
  </si>
  <si>
    <t>Service - Data Center Colocation Services (Data Center)</t>
  </si>
  <si>
    <t>Data Center- Internet &amp; Colocation</t>
  </si>
  <si>
    <t>Service - Etisalat Connections Data Center (Data Center) 15 MB DR Bandwidth</t>
  </si>
  <si>
    <t>WAN &amp; Internet Service - Shared</t>
  </si>
  <si>
    <t>Sites- Internet</t>
  </si>
  <si>
    <t>SAP Annual Support License Contract</t>
  </si>
  <si>
    <t>Production/ AMC's</t>
  </si>
  <si>
    <t>Software License</t>
  </si>
  <si>
    <t>People Strong</t>
  </si>
  <si>
    <t xml:space="preserve">Oracle EPM Licenses </t>
  </si>
  <si>
    <t>Oracle EPM- Annual Maintenance Contract</t>
  </si>
  <si>
    <t>Cisco ISE Renewal</t>
  </si>
  <si>
    <t>Annual Maintenance for IT Security, Compliance Products &amp; Sites Network Equipment (Cisco Devices: Switches, Access Point, Wireless Controller,..)</t>
  </si>
  <si>
    <t>Annual Maintenance for IT Security, Compliance Products &amp; Sites Network Equipment (Security Devices)</t>
  </si>
  <si>
    <t>Annual Maintenance for IT Security, Compliance Products &amp; Sites Network Equipment (Riverbed- WAN Optimization)</t>
  </si>
  <si>
    <t>Annual Maintenance for IT Security, Compliance Products &amp; Sites Network Equipment (Bluecoat, Symantec Antivirus, DLP,...)</t>
  </si>
  <si>
    <t>Maintenance Agreement for Servers</t>
  </si>
  <si>
    <t>Maintenance Agreement for Desktops, Laptops, etc…</t>
  </si>
  <si>
    <t>End User Assets</t>
  </si>
  <si>
    <t>Maintenance Agreement Managed Multifunction Copier Machines, MyQ</t>
  </si>
  <si>
    <t>Printers</t>
  </si>
  <si>
    <t>Adobe Acrobat Pro &amp; AI Assistant License Renewal, Adobe Creative Cloud</t>
  </si>
  <si>
    <t>Consumables &amp; End User Accessories</t>
  </si>
  <si>
    <t>Licenses Maintenance Renewals (WinRAR, PDQ, AnyDesk, Visio, Projects, Microsoft Teams,…) WeTransfer</t>
  </si>
  <si>
    <t xml:space="preserve">Access Control Annual Maintenance </t>
  </si>
  <si>
    <t>Physical Security</t>
  </si>
  <si>
    <t xml:space="preserve">CCTV Annual Maintenance </t>
  </si>
  <si>
    <t xml:space="preserve">Attendance Annual Maintenance </t>
  </si>
  <si>
    <t>Business Applications</t>
  </si>
  <si>
    <t xml:space="preserve">Video Conference Annual Maintenance </t>
  </si>
  <si>
    <t xml:space="preserve">Server Rooms Annual Maintenance </t>
  </si>
  <si>
    <t>Support &amp; Software contract for DELL</t>
  </si>
  <si>
    <t>Radware WAF</t>
  </si>
  <si>
    <t>Renewal of the certificates &amp; Plugins</t>
  </si>
  <si>
    <t>Training of IT Resources, Press Book, Learning Hub Access &amp; Subscription, Certified Information Security Manager,..</t>
  </si>
  <si>
    <t>Digital Risk Protection &amp; Social Media Monitoring</t>
  </si>
  <si>
    <t>Website maintennace, Hosting Renewal (Kinsta) &amp; Plugins (Gravity, WPML, Themeco, ..)</t>
  </si>
  <si>
    <t>Freshservice Enterprise</t>
  </si>
  <si>
    <t>Domain Names maintenance</t>
  </si>
  <si>
    <t>Acronis Cloud Backup</t>
  </si>
  <si>
    <t>SharePoint Application Support</t>
  </si>
  <si>
    <t>O365 Licenses &amp; Microsoft CSP renewal 2025</t>
  </si>
  <si>
    <t>Microsoft Enterprise Agreement, OLV Agreement Renewal</t>
  </si>
  <si>
    <t xml:space="preserve">Cloud Service- Moro Data Center Hosting </t>
  </si>
  <si>
    <t xml:space="preserve">Email Security Mimecast , DMARC Analyzer &amp; Managed Service </t>
  </si>
  <si>
    <t>FortiGate, FortiAuthenticator-VM license upgrade, Forti EMS Licenses 50 User</t>
  </si>
  <si>
    <t>QuestionPro survey &amp; assessment software platform</t>
  </si>
  <si>
    <t>KnowBe4 Security Awareness Training Solution, Phishing &amp; Ransomware</t>
  </si>
  <si>
    <t xml:space="preserve">PAM Solution , CyberArk  </t>
  </si>
  <si>
    <t>Managed Security Service</t>
  </si>
  <si>
    <t xml:space="preserve">IT General Controls Review; and a Vulnerability Assessment &amp; Penetration Test (VAPT); and Secure Configuration Review </t>
  </si>
  <si>
    <t>Networking &amp; Infrastructure Setup for Microsoft Azure as a Disaster Recovery Site</t>
  </si>
  <si>
    <t>Network Security &amp; Privacy Liability (Cyber) Insurance</t>
  </si>
  <si>
    <t>ISO 27001:2022 &amp; ISO 27701:2019</t>
  </si>
  <si>
    <t>Code Two Email Signatures 365</t>
  </si>
  <si>
    <t>Macroview License and Support</t>
  </si>
  <si>
    <t>Barracuda Load Balancer License and Support</t>
  </si>
  <si>
    <t>KYC Screening Tool for NH Compliance</t>
  </si>
  <si>
    <t>NAVEX - Third Party Hotline Subscription, GRC Solution for NH Compliance</t>
  </si>
  <si>
    <t>Red Hat &amp; Windows Server RDS Licenses</t>
  </si>
  <si>
    <t>CERRA APPLAUSE -Award Management Solution- Flabuless FZ LLC</t>
  </si>
  <si>
    <t>Business Memo Automation solution- Cetas</t>
  </si>
  <si>
    <t>Sustainability &amp; ESG Automation</t>
  </si>
  <si>
    <t>Crowd Strike, End Point Detection</t>
  </si>
  <si>
    <t>AI Use Cases Implementation</t>
  </si>
  <si>
    <t>Data Classification Tool</t>
  </si>
  <si>
    <t>Security Application ( DNS/NDR)</t>
  </si>
  <si>
    <t xml:space="preserve">GFI, Commvault </t>
  </si>
  <si>
    <t>CAPEX</t>
  </si>
  <si>
    <t>New Microsoft Licenses, outlook</t>
  </si>
  <si>
    <t>Growth</t>
  </si>
  <si>
    <t>New SAP Licenses</t>
  </si>
  <si>
    <t>New EPM Licenses</t>
  </si>
  <si>
    <t>New Server</t>
  </si>
  <si>
    <t>Projects</t>
  </si>
  <si>
    <t>Server &amp; Storage</t>
  </si>
  <si>
    <t>New switches, wireless access points, controllers, ISE, and replacement of end-of-life (EOL) and end-of-support (EOS) devices,….</t>
  </si>
  <si>
    <t>New Riverbed (Refreshment)</t>
  </si>
  <si>
    <t>Desktops &amp; Laptops Refresh</t>
  </si>
  <si>
    <t>New MFPs &amp; Photocopiers, Projector</t>
  </si>
  <si>
    <t>New Smartphones</t>
  </si>
  <si>
    <t>VMWare</t>
  </si>
  <si>
    <t>Computer Tools, Screens for dashboard presentation &amp; Accessories, Monitors, Docking Stations</t>
  </si>
  <si>
    <t>Adobe, Visio, MS. Project &amp; AutoCAD Licenses</t>
  </si>
  <si>
    <t>Refresh Data Center ( EMC Storages, Network Devices,…) ISE,</t>
  </si>
  <si>
    <t>Attendance Management System</t>
  </si>
  <si>
    <t>Integration (Enable the communicate) between Inteqnion and Wincos- CFM Production system</t>
  </si>
  <si>
    <t>CCTV &amp; Access Control system</t>
  </si>
  <si>
    <t>Project Management Software Implementation</t>
  </si>
  <si>
    <t>Two Way Radio Solution</t>
  </si>
  <si>
    <t xml:space="preserve">ERP Enhancement project- ACR Module </t>
  </si>
  <si>
    <t xml:space="preserve">ERP Enhancement project- Consolidation, Reporting, Planning, Budgeting </t>
  </si>
  <si>
    <t xml:space="preserve">ERP Enhancement project- Fiori &amp; Workflow  </t>
  </si>
  <si>
    <t xml:space="preserve">Quota Control Project </t>
  </si>
  <si>
    <t>EPM-TAX Corporate Module (TRCS)</t>
  </si>
  <si>
    <t>EPM-Treasury Module</t>
  </si>
  <si>
    <t>Network Monitoring, Op Manager Plus Essential Edition - Perpetual Model</t>
  </si>
  <si>
    <t>Backup and Storage Refresh (Hardware and Licenses)</t>
  </si>
  <si>
    <t>Datacenter Infra Refresh (Hardware and Licenses)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</si>
</sst>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Palatino Linotype"/>
      <family val="1"/>
    </font>
    <font>
      <sz val="10"/>
      <color rgb="FFFFFF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1" fontId="4" fillId="2" borderId="1" xfId="3" applyNumberFormat="1" applyFont="1" applyFill="1" applyBorder="1" applyAlignment="1">
      <alignment horizontal="left" vertical="top" wrapText="1"/>
    </xf>
    <xf numFmtId="1" fontId="4" fillId="2" borderId="2" xfId="3" applyNumberFormat="1" applyFont="1" applyFill="1" applyBorder="1" applyAlignment="1">
      <alignment horizontal="left" vertical="top" wrapText="1"/>
    </xf>
    <xf numFmtId="165" fontId="4" fillId="2" borderId="2" xfId="1" applyNumberFormat="1" applyFont="1" applyFill="1" applyBorder="1" applyAlignment="1">
      <alignment horizontal="center" vertical="center" wrapText="1"/>
    </xf>
    <xf numFmtId="165" fontId="4" fillId="2" borderId="2" xfId="1" applyNumberFormat="1" applyFont="1" applyFill="1" applyBorder="1" applyAlignment="1">
      <alignment horizontal="center" vertical="top" wrapText="1"/>
    </xf>
    <xf numFmtId="165" fontId="4" fillId="2" borderId="2" xfId="1" applyNumberFormat="1" applyFont="1" applyFill="1" applyBorder="1" applyAlignment="1">
      <alignment horizontal="left" vertical="top" wrapText="1"/>
    </xf>
    <xf numFmtId="1" fontId="4" fillId="2" borderId="3" xfId="3" applyNumberFormat="1" applyFont="1" applyFill="1" applyBorder="1" applyAlignment="1">
      <alignment horizontal="left" vertical="center" wrapText="1"/>
    </xf>
    <xf numFmtId="1" fontId="4" fillId="2" borderId="4" xfId="3" applyNumberFormat="1" applyFont="1" applyFill="1" applyBorder="1" applyAlignment="1">
      <alignment horizontal="left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left" vertical="center" wrapText="1"/>
    </xf>
    <xf numFmtId="1" fontId="4" fillId="3" borderId="1" xfId="3" applyNumberFormat="1" applyFont="1" applyFill="1" applyBorder="1" applyAlignment="1">
      <alignment horizontal="left" vertical="center" wrapText="1"/>
    </xf>
    <xf numFmtId="1" fontId="5" fillId="3" borderId="2" xfId="3" applyNumberFormat="1" applyFont="1" applyFill="1" applyBorder="1" applyAlignment="1">
      <alignment horizontal="left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165" fontId="4" fillId="3" borderId="2" xfId="1" applyNumberFormat="1" applyFont="1" applyFill="1" applyBorder="1" applyAlignment="1">
      <alignment horizontal="left" vertical="center" wrapText="1"/>
    </xf>
    <xf numFmtId="0" fontId="0" fillId="3" borderId="0" xfId="0" applyFill="1"/>
    <xf numFmtId="9" fontId="6" fillId="3" borderId="2" xfId="2" applyFont="1" applyFill="1" applyBorder="1" applyAlignment="1">
      <alignment horizontal="center" vertical="center" wrapText="1"/>
    </xf>
    <xf numFmtId="1" fontId="6" fillId="4" borderId="5" xfId="3" applyNumberFormat="1" applyFont="1" applyFill="1" applyBorder="1" applyAlignment="1">
      <alignment horizontal="left" vertical="top" wrapText="1"/>
    </xf>
    <xf numFmtId="1" fontId="6" fillId="4" borderId="6" xfId="3" applyNumberFormat="1" applyFont="1" applyFill="1" applyBorder="1" applyAlignment="1">
      <alignment horizontal="left" vertical="top" wrapText="1"/>
    </xf>
    <xf numFmtId="165" fontId="6" fillId="4" borderId="6" xfId="1" applyNumberFormat="1" applyFont="1" applyFill="1" applyBorder="1" applyAlignment="1">
      <alignment horizontal="center" vertical="top" wrapText="1"/>
    </xf>
    <xf numFmtId="0" fontId="2" fillId="0" borderId="6" xfId="0" applyFont="1" applyBorder="1"/>
    <xf numFmtId="164" fontId="0" fillId="0" borderId="0" xfId="0" applyNumberFormat="1"/>
    <xf numFmtId="165" fontId="0" fillId="4" borderId="6" xfId="0" applyNumberFormat="1" applyFill="1" applyBorder="1"/>
    <xf numFmtId="165" fontId="0" fillId="0" borderId="0" xfId="0" applyNumberFormat="1"/>
    <xf numFmtId="1" fontId="7" fillId="4" borderId="5" xfId="3" applyNumberFormat="1" applyFont="1" applyFill="1" applyBorder="1" applyAlignment="1">
      <alignment horizontal="left" vertical="top" wrapText="1"/>
    </xf>
    <xf numFmtId="165" fontId="6" fillId="4" borderId="6" xfId="1" applyNumberFormat="1" applyFont="1" applyFill="1" applyBorder="1" applyAlignment="1">
      <alignment horizontal="right" vertical="top" wrapText="1"/>
    </xf>
    <xf numFmtId="9" fontId="0" fillId="0" borderId="0" xfId="2" applyFont="1"/>
    <xf numFmtId="165" fontId="6" fillId="4" borderId="6" xfId="1" applyNumberFormat="1" applyFont="1" applyFill="1" applyBorder="1" applyAlignment="1">
      <alignment horizontal="center" vertical="center" wrapText="1"/>
    </xf>
    <xf numFmtId="1" fontId="6" fillId="5" borderId="5" xfId="3" applyNumberFormat="1" applyFont="1" applyFill="1" applyBorder="1" applyAlignment="1">
      <alignment horizontal="left" vertical="top" wrapText="1"/>
    </xf>
    <xf numFmtId="1" fontId="6" fillId="5" borderId="6" xfId="3" applyNumberFormat="1" applyFont="1" applyFill="1" applyBorder="1" applyAlignment="1">
      <alignment horizontal="left" vertical="top" wrapText="1"/>
    </xf>
    <xf numFmtId="165" fontId="6" fillId="5" borderId="6" xfId="1" applyNumberFormat="1" applyFont="1" applyFill="1" applyBorder="1" applyAlignment="1">
      <alignment horizontal="center" vertical="top" wrapText="1"/>
    </xf>
    <xf numFmtId="165" fontId="6" fillId="6" borderId="6" xfId="1" applyNumberFormat="1" applyFont="1" applyFill="1" applyBorder="1" applyAlignment="1">
      <alignment horizontal="center" vertical="top" wrapText="1"/>
    </xf>
    <xf numFmtId="165" fontId="6" fillId="6" borderId="6" xfId="1" applyNumberFormat="1" applyFont="1" applyFill="1" applyBorder="1" applyAlignment="1">
      <alignment horizontal="center" vertical="center" wrapText="1"/>
    </xf>
    <xf numFmtId="1" fontId="6" fillId="6" borderId="5" xfId="3" applyNumberFormat="1" applyFont="1" applyFill="1" applyBorder="1" applyAlignment="1">
      <alignment horizontal="left" vertical="top" wrapText="1"/>
    </xf>
    <xf numFmtId="1" fontId="6" fillId="6" borderId="6" xfId="3" applyNumberFormat="1" applyFont="1" applyFill="1" applyBorder="1" applyAlignment="1">
      <alignment horizontal="left" vertical="top" wrapText="1"/>
    </xf>
    <xf numFmtId="1" fontId="6" fillId="5" borderId="7" xfId="3" applyNumberFormat="1" applyFont="1" applyFill="1" applyBorder="1" applyAlignment="1">
      <alignment horizontal="left" vertical="top" wrapText="1"/>
    </xf>
    <xf numFmtId="165" fontId="6" fillId="5" borderId="7" xfId="1" applyNumberFormat="1" applyFont="1" applyFill="1" applyBorder="1" applyAlignment="1">
      <alignment horizontal="center" vertical="top" wrapText="1"/>
    </xf>
    <xf numFmtId="165" fontId="6" fillId="6" borderId="7" xfId="1" applyNumberFormat="1" applyFont="1" applyFill="1" applyBorder="1" applyAlignment="1">
      <alignment horizontal="center" vertical="top" wrapText="1"/>
    </xf>
    <xf numFmtId="0" fontId="8" fillId="0" borderId="0" xfId="0" applyFont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</cellXfs>
  <cellStyles count="4">
    <cellStyle name="Comma" xfId="1" builtinId="3"/>
    <cellStyle name="Normal" xfId="0" builtinId="0"/>
    <cellStyle name="Normal 5" xfId="3" xr:uid="{50A4BE75-9D30-4ADB-BCD4-1D57D64797E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B1C4-A8C9-49AE-8D79-23624065E68D}">
  <dimension ref="A1:XEJ94"/>
  <sheetViews>
    <sheetView tabSelected="1" topLeftCell="A2" workbookViewId="0">
      <selection activeCell="A2" sqref="A2:J93"/>
    </sheetView>
  </sheetViews>
  <sheetFormatPr defaultColWidth="87.28515625" defaultRowHeight="15" x14ac:dyDescent="0.25"/>
  <cols>
    <col min="1" max="1" width="16.28515625" style="37" bestFit="1" customWidth="1"/>
    <col min="2" max="2" width="110" customWidth="1"/>
    <col min="3" max="6" width="12.140625" style="38" customWidth="1"/>
    <col min="7" max="7" width="19.28515625" style="38" bestFit="1" customWidth="1"/>
    <col min="8" max="8" width="14.42578125" style="38" hidden="1" customWidth="1"/>
    <col min="9" max="9" width="23" bestFit="1" customWidth="1"/>
    <col min="10" max="10" width="42.140625" bestFit="1" customWidth="1"/>
    <col min="11" max="11" width="17.140625" bestFit="1" customWidth="1"/>
    <col min="12" max="71" width="14.85546875" customWidth="1"/>
  </cols>
  <sheetData>
    <row r="1" spans="1:11 16351:16364" ht="15.75" hidden="1" thickBot="1" x14ac:dyDescent="0.3">
      <c r="A1" s="1"/>
      <c r="B1" s="2"/>
      <c r="C1" s="3">
        <v>185</v>
      </c>
      <c r="D1" s="3">
        <v>6</v>
      </c>
      <c r="E1" s="3">
        <v>6</v>
      </c>
      <c r="F1" s="3">
        <v>2</v>
      </c>
      <c r="G1" s="4">
        <f>SUM(C1:F1)</f>
        <v>199</v>
      </c>
      <c r="H1" s="4"/>
      <c r="I1" s="5"/>
      <c r="J1" s="5"/>
    </row>
    <row r="2" spans="1:11 16351:16364" ht="30" customHeight="1" x14ac:dyDescent="0.25">
      <c r="A2" s="6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  <c r="J2" s="9" t="s">
        <v>9</v>
      </c>
    </row>
    <row r="3" spans="1:11 16351:16364" s="14" customFormat="1" ht="15.75" hidden="1" customHeight="1" x14ac:dyDescent="0.25">
      <c r="A3" s="10"/>
      <c r="B3" s="11" t="s">
        <v>10</v>
      </c>
      <c r="C3" s="12">
        <v>34</v>
      </c>
      <c r="D3" s="12">
        <v>28</v>
      </c>
      <c r="E3" s="12">
        <v>7</v>
      </c>
      <c r="F3" s="12">
        <v>16</v>
      </c>
      <c r="G3" s="12">
        <f>SUM(C3:F3)</f>
        <v>85</v>
      </c>
      <c r="H3" s="12"/>
      <c r="I3" s="13"/>
      <c r="J3" s="13"/>
    </row>
    <row r="4" spans="1:11 16351:16364" s="14" customFormat="1" ht="12.75" hidden="1" customHeight="1" x14ac:dyDescent="0.25">
      <c r="A4" s="10"/>
      <c r="B4" s="11" t="s">
        <v>11</v>
      </c>
      <c r="C4" s="15">
        <f>SUM(C3/$G3)*100%</f>
        <v>0.4</v>
      </c>
      <c r="D4" s="15">
        <f t="shared" ref="D4:F4" si="0">SUM(D3/$G3)*100%</f>
        <v>0.32941176470588235</v>
      </c>
      <c r="E4" s="15">
        <f t="shared" si="0"/>
        <v>8.2352941176470587E-2</v>
      </c>
      <c r="F4" s="15">
        <f t="shared" si="0"/>
        <v>0.18823529411764706</v>
      </c>
      <c r="G4" s="12">
        <f t="shared" ref="G4" si="1">SUM(G3*100)/$G$3</f>
        <v>100</v>
      </c>
      <c r="H4" s="12"/>
      <c r="I4" s="13"/>
      <c r="J4" s="13"/>
    </row>
    <row r="5" spans="1:11 16351:16364" ht="17.25" customHeight="1" x14ac:dyDescent="0.25">
      <c r="A5" s="16" t="s">
        <v>12</v>
      </c>
      <c r="B5" s="17" t="s">
        <v>13</v>
      </c>
      <c r="C5" s="18">
        <f>SUM($G$5*C4)</f>
        <v>62000</v>
      </c>
      <c r="D5" s="18">
        <f t="shared" ref="D5:F5" si="2">SUM($G$5*D4)</f>
        <v>51058.823529411762</v>
      </c>
      <c r="E5" s="18">
        <f t="shared" si="2"/>
        <v>12764.705882352941</v>
      </c>
      <c r="F5" s="18">
        <f t="shared" si="2"/>
        <v>29176.470588235294</v>
      </c>
      <c r="G5" s="18">
        <v>155000</v>
      </c>
      <c r="H5" s="18"/>
      <c r="I5" s="19" t="s">
        <v>14</v>
      </c>
      <c r="J5" s="19" t="s">
        <v>15</v>
      </c>
    </row>
    <row r="6" spans="1:11 16351:16364" x14ac:dyDescent="0.25">
      <c r="A6" s="16" t="s">
        <v>12</v>
      </c>
      <c r="B6" s="17" t="s">
        <v>16</v>
      </c>
      <c r="C6" s="18"/>
      <c r="D6" s="18"/>
      <c r="E6" s="18"/>
      <c r="F6" s="18"/>
      <c r="G6" s="18"/>
      <c r="H6" s="18"/>
      <c r="I6" s="19" t="s">
        <v>14</v>
      </c>
      <c r="J6" s="19" t="s">
        <v>17</v>
      </c>
      <c r="K6" s="20"/>
    </row>
    <row r="7" spans="1:11 16351:16364" x14ac:dyDescent="0.25">
      <c r="A7" s="16" t="s">
        <v>12</v>
      </c>
      <c r="B7" s="17" t="s">
        <v>18</v>
      </c>
      <c r="C7" s="18">
        <v>120000</v>
      </c>
      <c r="D7" s="18">
        <v>120000</v>
      </c>
      <c r="E7" s="18"/>
      <c r="F7" s="18"/>
      <c r="G7" s="18">
        <v>240000</v>
      </c>
      <c r="H7" s="18"/>
      <c r="I7" s="19" t="s">
        <v>14</v>
      </c>
      <c r="J7" s="19" t="s">
        <v>17</v>
      </c>
      <c r="K7" s="20"/>
    </row>
    <row r="8" spans="1:11 16351:16364" x14ac:dyDescent="0.25">
      <c r="A8" s="16" t="s">
        <v>12</v>
      </c>
      <c r="B8" s="17" t="s">
        <v>19</v>
      </c>
      <c r="C8" s="21">
        <v>12224.63768115942</v>
      </c>
      <c r="D8" s="21">
        <v>7861.4663256606982</v>
      </c>
      <c r="E8" s="21">
        <v>1590.3665814151746</v>
      </c>
      <c r="F8" s="21">
        <v>5823.5294117647063</v>
      </c>
      <c r="G8" s="18">
        <f>SUM(C8:F8)</f>
        <v>27500</v>
      </c>
      <c r="H8" s="18"/>
      <c r="I8" s="19" t="s">
        <v>14</v>
      </c>
      <c r="J8" s="19" t="s">
        <v>20</v>
      </c>
      <c r="K8" s="22"/>
    </row>
    <row r="9" spans="1:11 16351:16364" x14ac:dyDescent="0.25">
      <c r="A9" s="16" t="s">
        <v>12</v>
      </c>
      <c r="B9" s="17" t="s">
        <v>21</v>
      </c>
      <c r="C9" s="18">
        <f>SUM(G9*40%)</f>
        <v>58000</v>
      </c>
      <c r="D9" s="18">
        <f>SUM(G9*44%)</f>
        <v>63800</v>
      </c>
      <c r="E9" s="18">
        <f>SUM(16%*G9)</f>
        <v>23200</v>
      </c>
      <c r="F9" s="18"/>
      <c r="G9" s="18">
        <v>145000</v>
      </c>
      <c r="H9" s="18"/>
      <c r="I9" s="19" t="s">
        <v>22</v>
      </c>
      <c r="J9" s="19" t="s">
        <v>23</v>
      </c>
    </row>
    <row r="10" spans="1:11 16351:16364" x14ac:dyDescent="0.25">
      <c r="A10" s="16" t="s">
        <v>12</v>
      </c>
      <c r="B10" s="17" t="s">
        <v>24</v>
      </c>
      <c r="C10" s="18">
        <f>SUM($G$10*C4)</f>
        <v>320000</v>
      </c>
      <c r="D10" s="18">
        <f t="shared" ref="D10:F10" si="3">SUM($G$10*D4)</f>
        <v>263529.4117647059</v>
      </c>
      <c r="E10" s="18">
        <f t="shared" si="3"/>
        <v>65882.352941176476</v>
      </c>
      <c r="F10" s="18">
        <f t="shared" si="3"/>
        <v>150588.23529411765</v>
      </c>
      <c r="G10" s="18">
        <v>800000</v>
      </c>
      <c r="H10" s="18"/>
      <c r="I10" s="19" t="s">
        <v>22</v>
      </c>
      <c r="J10" s="19" t="s">
        <v>23</v>
      </c>
    </row>
    <row r="11" spans="1:11 16351:16364" x14ac:dyDescent="0.25">
      <c r="A11" s="16" t="s">
        <v>12</v>
      </c>
      <c r="B11" s="17" t="s">
        <v>25</v>
      </c>
      <c r="C11" s="18">
        <f>SUM($G$11*C4)</f>
        <v>228000</v>
      </c>
      <c r="D11" s="18">
        <f t="shared" ref="D11:F11" si="4">SUM($G$11*D4)</f>
        <v>187764.70588235295</v>
      </c>
      <c r="E11" s="18">
        <f t="shared" si="4"/>
        <v>46941.176470588238</v>
      </c>
      <c r="F11" s="18">
        <f t="shared" si="4"/>
        <v>107294.11764705883</v>
      </c>
      <c r="G11" s="18">
        <v>570000</v>
      </c>
      <c r="H11" s="18"/>
      <c r="I11" s="19" t="s">
        <v>22</v>
      </c>
      <c r="J11" s="19" t="s">
        <v>23</v>
      </c>
    </row>
    <row r="12" spans="1:11 16351:16364" x14ac:dyDescent="0.25">
      <c r="A12" s="16" t="s">
        <v>12</v>
      </c>
      <c r="B12" s="17" t="s">
        <v>26</v>
      </c>
      <c r="C12" s="18">
        <f>SUM($G$12*C4)</f>
        <v>140000</v>
      </c>
      <c r="D12" s="18">
        <f t="shared" ref="D12:F12" si="5">SUM($G$12*D4)</f>
        <v>115294.11764705883</v>
      </c>
      <c r="E12" s="18">
        <f t="shared" si="5"/>
        <v>28823.529411764706</v>
      </c>
      <c r="F12" s="18">
        <f t="shared" si="5"/>
        <v>65882.352941176476</v>
      </c>
      <c r="G12" s="18">
        <v>350000</v>
      </c>
      <c r="H12" s="18"/>
      <c r="I12" s="19" t="s">
        <v>22</v>
      </c>
      <c r="J12" s="19" t="s">
        <v>23</v>
      </c>
    </row>
    <row r="13" spans="1:11 16351:16364" x14ac:dyDescent="0.25">
      <c r="A13" s="16" t="s">
        <v>12</v>
      </c>
      <c r="B13" s="17" t="s">
        <v>27</v>
      </c>
      <c r="C13" s="18">
        <f>SUM($G$13*C4)</f>
        <v>50000</v>
      </c>
      <c r="D13" s="18">
        <f t="shared" ref="D13:F13" si="6">SUM($G$13*D4)</f>
        <v>41176.470588235294</v>
      </c>
      <c r="E13" s="18">
        <f t="shared" si="6"/>
        <v>10294.117647058823</v>
      </c>
      <c r="F13" s="18">
        <f t="shared" si="6"/>
        <v>23529.411764705881</v>
      </c>
      <c r="G13" s="18">
        <v>125000</v>
      </c>
      <c r="H13" s="18"/>
      <c r="I13" s="19" t="s">
        <v>22</v>
      </c>
      <c r="J13" s="19" t="s">
        <v>23</v>
      </c>
    </row>
    <row r="14" spans="1:11 16351:16364" ht="15" customHeight="1" x14ac:dyDescent="0.25">
      <c r="A14" s="16" t="s">
        <v>12</v>
      </c>
      <c r="B14" s="17" t="s">
        <v>28</v>
      </c>
      <c r="C14" s="18">
        <v>65000</v>
      </c>
      <c r="D14" s="18">
        <v>30000</v>
      </c>
      <c r="E14" s="18">
        <v>10000</v>
      </c>
      <c r="F14" s="18">
        <v>10000</v>
      </c>
      <c r="G14" s="18">
        <v>115000</v>
      </c>
      <c r="H14" s="18"/>
      <c r="I14" s="19" t="s">
        <v>14</v>
      </c>
      <c r="J14" s="19" t="s">
        <v>15</v>
      </c>
      <c r="XDW14" s="23"/>
      <c r="XDX14" s="17"/>
      <c r="XDY14" s="18"/>
      <c r="XDZ14" s="24"/>
      <c r="XEA14" s="24"/>
      <c r="XEB14" s="24"/>
      <c r="XEC14" s="24"/>
      <c r="XED14" s="24"/>
      <c r="XEE14" s="24"/>
      <c r="XEF14" s="24"/>
      <c r="XEG14" s="24"/>
      <c r="XEH14" s="19"/>
      <c r="XEI14" s="19"/>
      <c r="XEJ14" s="19"/>
    </row>
    <row r="15" spans="1:11 16351:16364" x14ac:dyDescent="0.25">
      <c r="A15" s="16" t="s">
        <v>12</v>
      </c>
      <c r="B15" s="17" t="s">
        <v>29</v>
      </c>
      <c r="C15" s="18">
        <v>25000</v>
      </c>
      <c r="D15" s="18">
        <v>15000</v>
      </c>
      <c r="E15" s="18">
        <v>5000</v>
      </c>
      <c r="F15" s="18">
        <v>5000</v>
      </c>
      <c r="G15" s="18">
        <v>50000</v>
      </c>
      <c r="H15" s="18"/>
      <c r="I15" s="19" t="s">
        <v>14</v>
      </c>
      <c r="J15" s="19" t="s">
        <v>15</v>
      </c>
    </row>
    <row r="16" spans="1:11 16351:16364" x14ac:dyDescent="0.25">
      <c r="A16" s="16" t="s">
        <v>12</v>
      </c>
      <c r="B16" s="17" t="s">
        <v>30</v>
      </c>
      <c r="C16" s="18"/>
      <c r="D16" s="18"/>
      <c r="E16" s="18"/>
      <c r="F16" s="18"/>
      <c r="G16" s="18"/>
      <c r="H16" s="18"/>
      <c r="I16" s="19" t="s">
        <v>14</v>
      </c>
      <c r="J16" s="19" t="s">
        <v>15</v>
      </c>
    </row>
    <row r="17" spans="1:16" x14ac:dyDescent="0.25">
      <c r="A17" s="16" t="s">
        <v>12</v>
      </c>
      <c r="B17" s="17" t="s">
        <v>31</v>
      </c>
      <c r="C17" s="18">
        <f>SUM($G$17*C4)</f>
        <v>72000</v>
      </c>
      <c r="D17" s="18">
        <f t="shared" ref="D17:F17" si="7">SUM($G$17*D4)</f>
        <v>59294.117647058825</v>
      </c>
      <c r="E17" s="18">
        <f t="shared" si="7"/>
        <v>14823.529411764706</v>
      </c>
      <c r="F17" s="18">
        <f t="shared" si="7"/>
        <v>33882.352941176468</v>
      </c>
      <c r="G17" s="18">
        <v>180000</v>
      </c>
      <c r="H17" s="18"/>
      <c r="I17" s="19" t="s">
        <v>14</v>
      </c>
      <c r="J17" s="19" t="s">
        <v>15</v>
      </c>
    </row>
    <row r="18" spans="1:16" x14ac:dyDescent="0.25">
      <c r="A18" s="16" t="s">
        <v>12</v>
      </c>
      <c r="B18" s="17" t="s">
        <v>32</v>
      </c>
      <c r="C18" s="18">
        <v>10000</v>
      </c>
      <c r="D18" s="18">
        <v>5000</v>
      </c>
      <c r="E18" s="18">
        <v>1000</v>
      </c>
      <c r="F18" s="18">
        <v>1000</v>
      </c>
      <c r="G18" s="18">
        <v>17000</v>
      </c>
      <c r="H18" s="18"/>
      <c r="I18" s="19" t="s">
        <v>14</v>
      </c>
      <c r="J18" s="19" t="s">
        <v>15</v>
      </c>
    </row>
    <row r="19" spans="1:16" x14ac:dyDescent="0.25">
      <c r="A19" s="16" t="s">
        <v>12</v>
      </c>
      <c r="B19" s="17" t="s">
        <v>33</v>
      </c>
      <c r="C19" s="18">
        <v>10000</v>
      </c>
      <c r="D19" s="18">
        <v>5000</v>
      </c>
      <c r="E19" s="18">
        <v>1000</v>
      </c>
      <c r="F19" s="18">
        <v>1000</v>
      </c>
      <c r="G19" s="18">
        <v>17000</v>
      </c>
      <c r="H19" s="18"/>
      <c r="I19" s="19" t="s">
        <v>22</v>
      </c>
      <c r="J19" s="19" t="s">
        <v>34</v>
      </c>
      <c r="M19" s="25"/>
      <c r="N19" s="25"/>
      <c r="O19" s="25"/>
      <c r="P19" s="25"/>
    </row>
    <row r="20" spans="1:16" x14ac:dyDescent="0.25">
      <c r="A20" s="16" t="s">
        <v>12</v>
      </c>
      <c r="B20" s="17" t="s">
        <v>35</v>
      </c>
      <c r="C20" s="18">
        <v>10000</v>
      </c>
      <c r="D20" s="18">
        <v>3000</v>
      </c>
      <c r="E20" s="18">
        <v>1000</v>
      </c>
      <c r="F20" s="26">
        <v>1000</v>
      </c>
      <c r="G20" s="18">
        <v>15000</v>
      </c>
      <c r="H20" s="18"/>
      <c r="I20" s="19" t="s">
        <v>22</v>
      </c>
      <c r="J20" s="19" t="s">
        <v>36</v>
      </c>
      <c r="K20" s="22"/>
    </row>
    <row r="21" spans="1:16" x14ac:dyDescent="0.25">
      <c r="A21" s="16" t="s">
        <v>12</v>
      </c>
      <c r="B21" s="17" t="s">
        <v>37</v>
      </c>
      <c r="C21" s="18">
        <v>25000</v>
      </c>
      <c r="D21" s="18">
        <v>25000</v>
      </c>
      <c r="E21" s="18">
        <v>3500</v>
      </c>
      <c r="F21" s="18">
        <v>10000</v>
      </c>
      <c r="G21" s="18">
        <v>63500</v>
      </c>
      <c r="H21" s="18"/>
      <c r="I21" s="19" t="s">
        <v>22</v>
      </c>
      <c r="J21" s="19" t="s">
        <v>34</v>
      </c>
    </row>
    <row r="22" spans="1:16" x14ac:dyDescent="0.25">
      <c r="A22" s="16" t="s">
        <v>12</v>
      </c>
      <c r="B22" s="17" t="s">
        <v>38</v>
      </c>
      <c r="C22" s="18">
        <f>SUM($G$22*C4)</f>
        <v>40000</v>
      </c>
      <c r="D22" s="18">
        <f t="shared" ref="D22:F22" si="8">SUM($G$22*D4)</f>
        <v>32941.176470588238</v>
      </c>
      <c r="E22" s="18">
        <f t="shared" si="8"/>
        <v>8235.2941176470595</v>
      </c>
      <c r="F22" s="18">
        <f t="shared" si="8"/>
        <v>18823.529411764706</v>
      </c>
      <c r="G22" s="18">
        <v>100000</v>
      </c>
      <c r="H22" s="18"/>
      <c r="I22" s="19" t="s">
        <v>22</v>
      </c>
      <c r="J22" s="19" t="s">
        <v>34</v>
      </c>
    </row>
    <row r="23" spans="1:16" x14ac:dyDescent="0.25">
      <c r="A23" s="16" t="s">
        <v>12</v>
      </c>
      <c r="B23" s="17" t="s">
        <v>39</v>
      </c>
      <c r="C23" s="18">
        <f>SUM(C4*$G$23)</f>
        <v>6400</v>
      </c>
      <c r="D23" s="18">
        <f t="shared" ref="D23:F23" si="9">SUM(D4*$G$23)</f>
        <v>5270.588235294118</v>
      </c>
      <c r="E23" s="18">
        <f t="shared" si="9"/>
        <v>1317.6470588235295</v>
      </c>
      <c r="F23" s="18">
        <f t="shared" si="9"/>
        <v>3011.7647058823527</v>
      </c>
      <c r="G23" s="18">
        <v>16000</v>
      </c>
      <c r="H23" s="18"/>
      <c r="I23" s="19" t="s">
        <v>22</v>
      </c>
      <c r="J23" s="19" t="s">
        <v>34</v>
      </c>
    </row>
    <row r="24" spans="1:16" x14ac:dyDescent="0.25">
      <c r="A24" s="16" t="s">
        <v>12</v>
      </c>
      <c r="B24" s="17" t="s">
        <v>40</v>
      </c>
      <c r="C24" s="18">
        <v>10000</v>
      </c>
      <c r="D24" s="18">
        <v>5000</v>
      </c>
      <c r="E24" s="18">
        <v>1000</v>
      </c>
      <c r="F24" s="18">
        <v>1000</v>
      </c>
      <c r="G24" s="18">
        <v>17000</v>
      </c>
      <c r="H24" s="18"/>
      <c r="I24" s="19" t="s">
        <v>22</v>
      </c>
      <c r="J24" s="19" t="s">
        <v>41</v>
      </c>
    </row>
    <row r="25" spans="1:16" x14ac:dyDescent="0.25">
      <c r="A25" s="16" t="s">
        <v>12</v>
      </c>
      <c r="B25" s="17" t="s">
        <v>42</v>
      </c>
      <c r="C25" s="18">
        <v>8000</v>
      </c>
      <c r="D25" s="18">
        <v>4000</v>
      </c>
      <c r="E25" s="18">
        <v>3000</v>
      </c>
      <c r="F25" s="18"/>
      <c r="G25" s="18">
        <v>15000</v>
      </c>
      <c r="H25" s="18"/>
      <c r="I25" s="19" t="s">
        <v>22</v>
      </c>
      <c r="J25" s="19" t="s">
        <v>41</v>
      </c>
    </row>
    <row r="26" spans="1:16" x14ac:dyDescent="0.25">
      <c r="A26" s="16" t="s">
        <v>12</v>
      </c>
      <c r="B26" s="17" t="s">
        <v>43</v>
      </c>
      <c r="C26" s="18">
        <v>6500</v>
      </c>
      <c r="D26" s="18">
        <v>6500</v>
      </c>
      <c r="E26" s="18"/>
      <c r="F26" s="18"/>
      <c r="G26" s="18">
        <v>13000</v>
      </c>
      <c r="H26" s="18"/>
      <c r="I26" s="19" t="s">
        <v>22</v>
      </c>
      <c r="J26" s="19" t="s">
        <v>44</v>
      </c>
    </row>
    <row r="27" spans="1:16" x14ac:dyDescent="0.25">
      <c r="A27" s="16" t="s">
        <v>12</v>
      </c>
      <c r="B27" s="17" t="s">
        <v>45</v>
      </c>
      <c r="C27" s="18">
        <v>6667</v>
      </c>
      <c r="D27" s="18">
        <v>3333</v>
      </c>
      <c r="E27" s="18"/>
      <c r="F27" s="18"/>
      <c r="G27" s="18">
        <v>10000</v>
      </c>
      <c r="H27" s="18"/>
      <c r="I27" s="19" t="s">
        <v>22</v>
      </c>
      <c r="J27" s="19" t="s">
        <v>44</v>
      </c>
    </row>
    <row r="28" spans="1:16" x14ac:dyDescent="0.25">
      <c r="A28" s="16" t="s">
        <v>12</v>
      </c>
      <c r="B28" s="17" t="s">
        <v>46</v>
      </c>
      <c r="C28" s="18">
        <v>17500</v>
      </c>
      <c r="D28" s="18">
        <v>17500</v>
      </c>
      <c r="E28" s="18"/>
      <c r="F28" s="18"/>
      <c r="G28" s="18">
        <v>35000</v>
      </c>
      <c r="H28" s="18"/>
      <c r="I28" s="19" t="s">
        <v>14</v>
      </c>
      <c r="J28" s="19" t="s">
        <v>15</v>
      </c>
    </row>
    <row r="29" spans="1:16" x14ac:dyDescent="0.25">
      <c r="A29" s="16" t="s">
        <v>12</v>
      </c>
      <c r="B29" s="17" t="s">
        <v>47</v>
      </c>
      <c r="C29" s="18">
        <f>SUM($G$29*C4)</f>
        <v>200000</v>
      </c>
      <c r="D29" s="18">
        <f t="shared" ref="D29:F29" si="10">SUM($G$29*D4)</f>
        <v>164705.88235294117</v>
      </c>
      <c r="E29" s="18">
        <f t="shared" si="10"/>
        <v>41176.470588235294</v>
      </c>
      <c r="F29" s="18">
        <f t="shared" si="10"/>
        <v>94117.647058823524</v>
      </c>
      <c r="G29" s="18">
        <v>500000</v>
      </c>
      <c r="H29" s="18"/>
      <c r="I29" s="19" t="s">
        <v>22</v>
      </c>
      <c r="J29" s="19" t="s">
        <v>44</v>
      </c>
    </row>
    <row r="30" spans="1:16" x14ac:dyDescent="0.25">
      <c r="A30" s="16" t="s">
        <v>12</v>
      </c>
      <c r="B30" s="17" t="s">
        <v>48</v>
      </c>
      <c r="C30" s="18">
        <f>SUM($G$30*C4)</f>
        <v>26000</v>
      </c>
      <c r="D30" s="18">
        <f t="shared" ref="D30:F30" si="11">SUM($G$30*D4)</f>
        <v>21411.764705882353</v>
      </c>
      <c r="E30" s="18">
        <f t="shared" si="11"/>
        <v>5352.9411764705883</v>
      </c>
      <c r="F30" s="18">
        <f t="shared" si="11"/>
        <v>12235.294117647059</v>
      </c>
      <c r="G30" s="18">
        <v>65000</v>
      </c>
      <c r="H30" s="18"/>
      <c r="I30" s="19" t="s">
        <v>22</v>
      </c>
      <c r="J30" s="19" t="s">
        <v>44</v>
      </c>
    </row>
    <row r="31" spans="1:16" x14ac:dyDescent="0.25">
      <c r="A31" s="16" t="s">
        <v>12</v>
      </c>
      <c r="B31" s="17" t="s">
        <v>49</v>
      </c>
      <c r="C31" s="18">
        <v>17855</v>
      </c>
      <c r="D31" s="18">
        <v>3573</v>
      </c>
      <c r="E31" s="18">
        <v>3572</v>
      </c>
      <c r="F31" s="26"/>
      <c r="G31" s="18">
        <v>25000</v>
      </c>
      <c r="H31" s="18"/>
      <c r="I31" s="19" t="s">
        <v>22</v>
      </c>
      <c r="J31" s="19" t="s">
        <v>44</v>
      </c>
    </row>
    <row r="32" spans="1:16" x14ac:dyDescent="0.25">
      <c r="A32" s="16" t="s">
        <v>12</v>
      </c>
      <c r="B32" s="17" t="s">
        <v>50</v>
      </c>
      <c r="C32" s="18">
        <f>SUM($G$32*C4)</f>
        <v>60000</v>
      </c>
      <c r="D32" s="18">
        <f t="shared" ref="D32:F32" si="12">SUM($G$32*D4)</f>
        <v>49411.76470588235</v>
      </c>
      <c r="E32" s="18">
        <f t="shared" si="12"/>
        <v>12352.941176470587</v>
      </c>
      <c r="F32" s="18">
        <f t="shared" si="12"/>
        <v>28235.294117647059</v>
      </c>
      <c r="G32" s="18">
        <v>150000</v>
      </c>
      <c r="H32" s="18"/>
      <c r="I32" s="19" t="s">
        <v>22</v>
      </c>
      <c r="J32" s="19" t="s">
        <v>44</v>
      </c>
    </row>
    <row r="33" spans="1:10" x14ac:dyDescent="0.25">
      <c r="A33" s="16" t="s">
        <v>12</v>
      </c>
      <c r="B33" s="17" t="s">
        <v>51</v>
      </c>
      <c r="C33" s="18">
        <f>SUM($G$33*C4)</f>
        <v>60000</v>
      </c>
      <c r="D33" s="18">
        <f t="shared" ref="D33:F33" si="13">SUM($G$33*D4)</f>
        <v>49411.76470588235</v>
      </c>
      <c r="E33" s="18">
        <f t="shared" si="13"/>
        <v>12352.941176470587</v>
      </c>
      <c r="F33" s="18">
        <f t="shared" si="13"/>
        <v>28235.294117647059</v>
      </c>
      <c r="G33" s="18">
        <v>150000</v>
      </c>
      <c r="H33" s="18"/>
      <c r="I33" s="19" t="s">
        <v>22</v>
      </c>
      <c r="J33" s="19" t="s">
        <v>44</v>
      </c>
    </row>
    <row r="34" spans="1:10" x14ac:dyDescent="0.25">
      <c r="A34" s="16" t="s">
        <v>12</v>
      </c>
      <c r="B34" s="17" t="s">
        <v>52</v>
      </c>
      <c r="C34" s="18">
        <v>35000</v>
      </c>
      <c r="D34" s="18"/>
      <c r="E34" s="18"/>
      <c r="F34" s="26"/>
      <c r="G34" s="18">
        <v>35000</v>
      </c>
      <c r="H34" s="18"/>
      <c r="I34" s="19" t="s">
        <v>22</v>
      </c>
      <c r="J34" s="19" t="s">
        <v>44</v>
      </c>
    </row>
    <row r="35" spans="1:10" x14ac:dyDescent="0.25">
      <c r="A35" s="16" t="s">
        <v>12</v>
      </c>
      <c r="B35" s="17" t="s">
        <v>53</v>
      </c>
      <c r="C35" s="18">
        <f>SUM(C4*$G$35)</f>
        <v>16000</v>
      </c>
      <c r="D35" s="18">
        <f t="shared" ref="D35:F35" si="14">SUM(D4*$G$35)</f>
        <v>13176.470588235294</v>
      </c>
      <c r="E35" s="18">
        <f t="shared" si="14"/>
        <v>3294.1176470588234</v>
      </c>
      <c r="F35" s="18">
        <f t="shared" si="14"/>
        <v>7529.411764705882</v>
      </c>
      <c r="G35" s="18">
        <v>40000</v>
      </c>
      <c r="H35" s="18"/>
      <c r="I35" s="19" t="s">
        <v>22</v>
      </c>
      <c r="J35" s="19" t="s">
        <v>44</v>
      </c>
    </row>
    <row r="36" spans="1:10" x14ac:dyDescent="0.25">
      <c r="A36" s="16" t="s">
        <v>12</v>
      </c>
      <c r="B36" s="17" t="s">
        <v>54</v>
      </c>
      <c r="C36" s="18">
        <v>8000</v>
      </c>
      <c r="D36" s="18">
        <v>4000</v>
      </c>
      <c r="E36" s="18">
        <v>1500</v>
      </c>
      <c r="F36" s="26">
        <v>1500</v>
      </c>
      <c r="G36" s="18">
        <v>15000</v>
      </c>
      <c r="H36" s="18"/>
      <c r="I36" s="19" t="s">
        <v>22</v>
      </c>
      <c r="J36" s="19" t="s">
        <v>44</v>
      </c>
    </row>
    <row r="37" spans="1:10" x14ac:dyDescent="0.25">
      <c r="A37" s="16" t="s">
        <v>12</v>
      </c>
      <c r="B37" s="17" t="s">
        <v>55</v>
      </c>
      <c r="C37" s="18">
        <f>SUM($G$37*C4)</f>
        <v>800</v>
      </c>
      <c r="D37" s="18">
        <f>SUM($G$37*D4)</f>
        <v>658.82352941176475</v>
      </c>
      <c r="E37" s="18">
        <f>SUM($G$37*E4)</f>
        <v>164.70588235294119</v>
      </c>
      <c r="F37" s="18">
        <f>SUM($G$37*F4)</f>
        <v>376.47058823529409</v>
      </c>
      <c r="G37" s="18">
        <v>2000</v>
      </c>
      <c r="H37" s="18"/>
      <c r="I37" s="19" t="s">
        <v>22</v>
      </c>
      <c r="J37" s="19" t="s">
        <v>44</v>
      </c>
    </row>
    <row r="38" spans="1:10" x14ac:dyDescent="0.25">
      <c r="A38" s="16" t="s">
        <v>12</v>
      </c>
      <c r="B38" s="17" t="s">
        <v>56</v>
      </c>
      <c r="C38" s="18">
        <f>SUM($G$38*C4)</f>
        <v>4000</v>
      </c>
      <c r="D38" s="18">
        <f t="shared" ref="D38:F38" si="15">SUM($G$38*D4)</f>
        <v>3294.1176470588234</v>
      </c>
      <c r="E38" s="18">
        <f t="shared" si="15"/>
        <v>823.52941176470586</v>
      </c>
      <c r="F38" s="18">
        <f t="shared" si="15"/>
        <v>1882.3529411764705</v>
      </c>
      <c r="G38" s="18">
        <v>10000</v>
      </c>
      <c r="H38" s="18"/>
      <c r="I38" s="19" t="s">
        <v>22</v>
      </c>
      <c r="J38" s="19" t="s">
        <v>44</v>
      </c>
    </row>
    <row r="39" spans="1:10" x14ac:dyDescent="0.25">
      <c r="A39" s="16" t="s">
        <v>12</v>
      </c>
      <c r="B39" s="17" t="s">
        <v>57</v>
      </c>
      <c r="C39" s="18">
        <f>SUM($G$39*C4)</f>
        <v>100000</v>
      </c>
      <c r="D39" s="18">
        <f t="shared" ref="D39:F39" si="16">SUM($G$39*D4)</f>
        <v>82352.941176470587</v>
      </c>
      <c r="E39" s="18">
        <f t="shared" si="16"/>
        <v>20588.235294117647</v>
      </c>
      <c r="F39" s="18">
        <f t="shared" si="16"/>
        <v>47058.823529411762</v>
      </c>
      <c r="G39" s="18">
        <v>250000</v>
      </c>
      <c r="H39" s="18"/>
      <c r="I39" s="19" t="s">
        <v>22</v>
      </c>
      <c r="J39" s="19" t="s">
        <v>44</v>
      </c>
    </row>
    <row r="40" spans="1:10" x14ac:dyDescent="0.25">
      <c r="A40" s="16" t="s">
        <v>12</v>
      </c>
      <c r="B40" s="17" t="s">
        <v>58</v>
      </c>
      <c r="C40" s="18">
        <f>SUM($G$40*C4)</f>
        <v>160000</v>
      </c>
      <c r="D40" s="18">
        <f t="shared" ref="D40:F40" si="17">SUM($G$40*D4)</f>
        <v>131764.70588235295</v>
      </c>
      <c r="E40" s="18">
        <f t="shared" si="17"/>
        <v>32941.176470588238</v>
      </c>
      <c r="F40" s="18">
        <f t="shared" si="17"/>
        <v>75294.117647058825</v>
      </c>
      <c r="G40" s="18">
        <v>400000</v>
      </c>
      <c r="H40" s="18"/>
      <c r="I40" s="19" t="s">
        <v>22</v>
      </c>
      <c r="J40" s="19" t="s">
        <v>44</v>
      </c>
    </row>
    <row r="41" spans="1:10" x14ac:dyDescent="0.25">
      <c r="A41" s="16" t="s">
        <v>12</v>
      </c>
      <c r="B41" s="17" t="s">
        <v>59</v>
      </c>
      <c r="C41" s="18">
        <v>201732</v>
      </c>
      <c r="D41" s="18"/>
      <c r="E41" s="18"/>
      <c r="F41" s="26"/>
      <c r="G41" s="18">
        <v>201732</v>
      </c>
      <c r="H41" s="18"/>
      <c r="I41" s="19" t="s">
        <v>22</v>
      </c>
      <c r="J41" s="19" t="s">
        <v>44</v>
      </c>
    </row>
    <row r="42" spans="1:10" x14ac:dyDescent="0.25">
      <c r="A42" s="16" t="s">
        <v>12</v>
      </c>
      <c r="B42" s="17" t="s">
        <v>60</v>
      </c>
      <c r="C42" s="18">
        <f>SUM($G$42*C4)</f>
        <v>32000</v>
      </c>
      <c r="D42" s="18">
        <f t="shared" ref="D42:F42" si="18">SUM($G$42*D4)</f>
        <v>26352.941176470587</v>
      </c>
      <c r="E42" s="18">
        <f t="shared" si="18"/>
        <v>6588.2352941176468</v>
      </c>
      <c r="F42" s="18">
        <f t="shared" si="18"/>
        <v>15058.823529411764</v>
      </c>
      <c r="G42" s="18">
        <v>80000</v>
      </c>
      <c r="H42" s="18"/>
      <c r="I42" s="19" t="s">
        <v>22</v>
      </c>
      <c r="J42" s="19" t="s">
        <v>44</v>
      </c>
    </row>
    <row r="43" spans="1:10" x14ac:dyDescent="0.25">
      <c r="A43" s="16" t="s">
        <v>12</v>
      </c>
      <c r="B43" s="17" t="s">
        <v>61</v>
      </c>
      <c r="C43" s="18">
        <v>35000</v>
      </c>
      <c r="D43" s="18">
        <v>20000</v>
      </c>
      <c r="E43" s="18">
        <v>5000</v>
      </c>
      <c r="F43" s="26">
        <v>5000</v>
      </c>
      <c r="G43" s="18">
        <v>65000</v>
      </c>
      <c r="H43" s="18"/>
      <c r="I43" s="19" t="s">
        <v>22</v>
      </c>
      <c r="J43" s="19" t="s">
        <v>44</v>
      </c>
    </row>
    <row r="44" spans="1:10" x14ac:dyDescent="0.25">
      <c r="A44" s="16" t="s">
        <v>12</v>
      </c>
      <c r="B44" s="17" t="s">
        <v>62</v>
      </c>
      <c r="C44" s="18"/>
      <c r="D44" s="18"/>
      <c r="E44" s="18"/>
      <c r="F44" s="26"/>
      <c r="G44" s="18"/>
      <c r="H44" s="18"/>
      <c r="I44" s="19" t="s">
        <v>22</v>
      </c>
      <c r="J44" s="19" t="s">
        <v>44</v>
      </c>
    </row>
    <row r="45" spans="1:10" x14ac:dyDescent="0.25">
      <c r="A45" s="16" t="s">
        <v>12</v>
      </c>
      <c r="B45" s="17" t="s">
        <v>63</v>
      </c>
      <c r="C45" s="18">
        <f>SUM($G$45*C4)</f>
        <v>12000</v>
      </c>
      <c r="D45" s="18">
        <f t="shared" ref="D45:F45" si="19">SUM($G$45*D4)</f>
        <v>9882.3529411764703</v>
      </c>
      <c r="E45" s="18">
        <f t="shared" si="19"/>
        <v>2470.5882352941176</v>
      </c>
      <c r="F45" s="18">
        <f t="shared" si="19"/>
        <v>5647.0588235294117</v>
      </c>
      <c r="G45" s="18">
        <v>30000</v>
      </c>
      <c r="H45" s="18"/>
      <c r="I45" s="19" t="s">
        <v>22</v>
      </c>
      <c r="J45" s="19" t="s">
        <v>44</v>
      </c>
    </row>
    <row r="46" spans="1:10" x14ac:dyDescent="0.25">
      <c r="A46" s="16" t="s">
        <v>12</v>
      </c>
      <c r="B46" s="17" t="s">
        <v>64</v>
      </c>
      <c r="C46" s="18">
        <f>SUM($G$46*C4)</f>
        <v>32800</v>
      </c>
      <c r="D46" s="18">
        <f t="shared" ref="D46:F46" si="20">SUM($G$46*D4)</f>
        <v>27011.764705882353</v>
      </c>
      <c r="E46" s="18">
        <f t="shared" si="20"/>
        <v>6752.9411764705883</v>
      </c>
      <c r="F46" s="18">
        <f t="shared" si="20"/>
        <v>15435.294117647059</v>
      </c>
      <c r="G46" s="18">
        <v>82000</v>
      </c>
      <c r="H46" s="18"/>
      <c r="I46" s="19" t="s">
        <v>22</v>
      </c>
      <c r="J46" s="19" t="s">
        <v>44</v>
      </c>
    </row>
    <row r="47" spans="1:10" x14ac:dyDescent="0.25">
      <c r="A47" s="16" t="s">
        <v>12</v>
      </c>
      <c r="B47" s="17" t="s">
        <v>65</v>
      </c>
      <c r="C47" s="18">
        <f>SUM($G$47*C4)</f>
        <v>120000</v>
      </c>
      <c r="D47" s="18">
        <f t="shared" ref="D47:F47" si="21">SUM($G$47*D4)</f>
        <v>98823.529411764699</v>
      </c>
      <c r="E47" s="18">
        <f t="shared" si="21"/>
        <v>24705.882352941175</v>
      </c>
      <c r="F47" s="18">
        <f t="shared" si="21"/>
        <v>56470.588235294119</v>
      </c>
      <c r="G47" s="18">
        <v>300000</v>
      </c>
      <c r="H47" s="18"/>
      <c r="I47" s="19" t="s">
        <v>22</v>
      </c>
      <c r="J47" s="19" t="s">
        <v>44</v>
      </c>
    </row>
    <row r="48" spans="1:10" x14ac:dyDescent="0.25">
      <c r="A48" s="16" t="s">
        <v>12</v>
      </c>
      <c r="B48" s="17" t="s">
        <v>66</v>
      </c>
      <c r="C48" s="18">
        <f>SUM($G$48*C4)</f>
        <v>8000</v>
      </c>
      <c r="D48" s="18">
        <f t="shared" ref="D48:F48" si="22">SUM($G$48*D4)</f>
        <v>6588.2352941176468</v>
      </c>
      <c r="E48" s="18">
        <f t="shared" si="22"/>
        <v>1647.0588235294117</v>
      </c>
      <c r="F48" s="18">
        <f t="shared" si="22"/>
        <v>3764.705882352941</v>
      </c>
      <c r="G48" s="18">
        <v>20000</v>
      </c>
      <c r="H48" s="18"/>
      <c r="I48" s="19" t="s">
        <v>22</v>
      </c>
      <c r="J48" s="19" t="s">
        <v>44</v>
      </c>
    </row>
    <row r="49" spans="1:10" x14ac:dyDescent="0.25">
      <c r="A49" s="16" t="s">
        <v>12</v>
      </c>
      <c r="B49" s="17" t="s">
        <v>67</v>
      </c>
      <c r="C49" s="18">
        <f>G49</f>
        <v>300000</v>
      </c>
      <c r="D49" s="18"/>
      <c r="E49" s="18"/>
      <c r="F49" s="26"/>
      <c r="G49" s="18">
        <v>300000</v>
      </c>
      <c r="H49" s="18"/>
      <c r="I49" s="19" t="s">
        <v>22</v>
      </c>
      <c r="J49" s="19" t="s">
        <v>44</v>
      </c>
    </row>
    <row r="50" spans="1:10" x14ac:dyDescent="0.25">
      <c r="A50" s="16" t="s">
        <v>12</v>
      </c>
      <c r="B50" s="17" t="s">
        <v>68</v>
      </c>
      <c r="C50" s="18">
        <f>SUM($G$50*C4)</f>
        <v>138000</v>
      </c>
      <c r="D50" s="18">
        <f t="shared" ref="D50:F50" si="23">SUM($G$50*D4)</f>
        <v>113647.05882352941</v>
      </c>
      <c r="E50" s="18">
        <f t="shared" si="23"/>
        <v>28411.764705882353</v>
      </c>
      <c r="F50" s="18">
        <f t="shared" si="23"/>
        <v>64941.176470588238</v>
      </c>
      <c r="G50" s="18">
        <v>345000</v>
      </c>
      <c r="H50" s="18"/>
      <c r="I50" s="19" t="s">
        <v>22</v>
      </c>
      <c r="J50" s="19" t="s">
        <v>44</v>
      </c>
    </row>
    <row r="51" spans="1:10" x14ac:dyDescent="0.25">
      <c r="A51" s="16" t="s">
        <v>12</v>
      </c>
      <c r="B51" s="17" t="s">
        <v>69</v>
      </c>
      <c r="C51" s="18">
        <f>SUM($G$51*C4)</f>
        <v>12000</v>
      </c>
      <c r="D51" s="18">
        <f t="shared" ref="D51:F51" si="24">SUM($G$51*D4)</f>
        <v>9882.3529411764703</v>
      </c>
      <c r="E51" s="18">
        <f t="shared" si="24"/>
        <v>2470.5882352941176</v>
      </c>
      <c r="F51" s="18">
        <f t="shared" si="24"/>
        <v>5647.0588235294117</v>
      </c>
      <c r="G51" s="18">
        <v>30000</v>
      </c>
      <c r="H51" s="18"/>
      <c r="I51" s="19" t="s">
        <v>22</v>
      </c>
      <c r="J51" s="19" t="s">
        <v>44</v>
      </c>
    </row>
    <row r="52" spans="1:10" x14ac:dyDescent="0.25">
      <c r="A52" s="16" t="s">
        <v>12</v>
      </c>
      <c r="B52" s="17" t="s">
        <v>70</v>
      </c>
      <c r="C52" s="18">
        <f>SUM($G$52*C4)</f>
        <v>20000</v>
      </c>
      <c r="D52" s="18">
        <f t="shared" ref="D52:F52" si="25">SUM($G$52*D4)</f>
        <v>16470.588235294119</v>
      </c>
      <c r="E52" s="18">
        <f t="shared" si="25"/>
        <v>4117.6470588235297</v>
      </c>
      <c r="F52" s="18">
        <f t="shared" si="25"/>
        <v>9411.7647058823532</v>
      </c>
      <c r="G52" s="18">
        <v>50000</v>
      </c>
      <c r="H52" s="18"/>
      <c r="I52" s="19" t="s">
        <v>22</v>
      </c>
      <c r="J52" s="19" t="s">
        <v>44</v>
      </c>
    </row>
    <row r="53" spans="1:10" x14ac:dyDescent="0.25">
      <c r="A53" s="16" t="s">
        <v>12</v>
      </c>
      <c r="B53" s="17" t="s">
        <v>71</v>
      </c>
      <c r="C53" s="18">
        <f>SUM($G$53*C4)</f>
        <v>8800</v>
      </c>
      <c r="D53" s="18">
        <f>SUM($G$53*D4)</f>
        <v>7247.0588235294117</v>
      </c>
      <c r="E53" s="18">
        <f>SUM($G$53*E4)</f>
        <v>1811.7647058823529</v>
      </c>
      <c r="F53" s="18">
        <f>SUM($G$53*F4)</f>
        <v>4141.1764705882351</v>
      </c>
      <c r="G53" s="18">
        <v>22000</v>
      </c>
      <c r="H53" s="18"/>
      <c r="I53" s="19" t="s">
        <v>22</v>
      </c>
      <c r="J53" s="19" t="s">
        <v>44</v>
      </c>
    </row>
    <row r="54" spans="1:10" x14ac:dyDescent="0.25">
      <c r="A54" s="16" t="s">
        <v>12</v>
      </c>
      <c r="B54" s="17" t="s">
        <v>72</v>
      </c>
      <c r="C54" s="18">
        <f>SUM($G$54*C4)</f>
        <v>8000</v>
      </c>
      <c r="D54" s="18">
        <f t="shared" ref="D54:F54" si="26">SUM($G$54*D4)</f>
        <v>6588.2352941176468</v>
      </c>
      <c r="E54" s="18">
        <f t="shared" si="26"/>
        <v>1647.0588235294117</v>
      </c>
      <c r="F54" s="18">
        <f t="shared" si="26"/>
        <v>3764.705882352941</v>
      </c>
      <c r="G54" s="18">
        <v>20000</v>
      </c>
      <c r="H54" s="18"/>
      <c r="I54" s="19" t="s">
        <v>22</v>
      </c>
      <c r="J54" s="19" t="s">
        <v>44</v>
      </c>
    </row>
    <row r="55" spans="1:10" x14ac:dyDescent="0.25">
      <c r="A55" s="16" t="s">
        <v>12</v>
      </c>
      <c r="B55" s="17" t="s">
        <v>73</v>
      </c>
      <c r="C55" s="18">
        <v>200000</v>
      </c>
      <c r="D55" s="18"/>
      <c r="E55" s="18"/>
      <c r="F55" s="18"/>
      <c r="G55" s="18">
        <v>200000</v>
      </c>
      <c r="H55" s="18"/>
      <c r="I55" s="19" t="s">
        <v>22</v>
      </c>
      <c r="J55" s="19" t="s">
        <v>44</v>
      </c>
    </row>
    <row r="56" spans="1:10" x14ac:dyDescent="0.25">
      <c r="A56" s="16" t="s">
        <v>12</v>
      </c>
      <c r="B56" s="17" t="s">
        <v>74</v>
      </c>
      <c r="C56" s="18">
        <v>25000</v>
      </c>
      <c r="D56" s="18"/>
      <c r="E56" s="18"/>
      <c r="F56" s="18"/>
      <c r="G56" s="18">
        <v>25000</v>
      </c>
      <c r="H56" s="18"/>
      <c r="I56" s="19" t="s">
        <v>22</v>
      </c>
      <c r="J56" s="19" t="s">
        <v>44</v>
      </c>
    </row>
    <row r="57" spans="1:10" x14ac:dyDescent="0.25">
      <c r="A57" s="16" t="s">
        <v>12</v>
      </c>
      <c r="B57" s="17" t="s">
        <v>75</v>
      </c>
      <c r="C57" s="18">
        <f>SUM($G$57*C4)</f>
        <v>6000</v>
      </c>
      <c r="D57" s="18">
        <f t="shared" ref="D57:F57" si="27">SUM($G$57*D4)</f>
        <v>4941.1764705882351</v>
      </c>
      <c r="E57" s="18">
        <f t="shared" si="27"/>
        <v>1235.2941176470588</v>
      </c>
      <c r="F57" s="18">
        <f t="shared" si="27"/>
        <v>2823.5294117647059</v>
      </c>
      <c r="G57" s="18">
        <v>15000</v>
      </c>
      <c r="H57" s="18"/>
      <c r="I57" s="19" t="s">
        <v>22</v>
      </c>
      <c r="J57" s="19" t="s">
        <v>44</v>
      </c>
    </row>
    <row r="58" spans="1:10" x14ac:dyDescent="0.25">
      <c r="A58" s="16" t="s">
        <v>12</v>
      </c>
      <c r="B58" s="17" t="s">
        <v>76</v>
      </c>
      <c r="C58" s="18">
        <f>SUM($G$58*C4)</f>
        <v>20000</v>
      </c>
      <c r="D58" s="18">
        <f t="shared" ref="D58:F58" si="28">SUM($G$58*D4)</f>
        <v>16470.588235294119</v>
      </c>
      <c r="E58" s="18">
        <f t="shared" si="28"/>
        <v>4117.6470588235297</v>
      </c>
      <c r="F58" s="18">
        <f t="shared" si="28"/>
        <v>9411.7647058823532</v>
      </c>
      <c r="G58" s="18">
        <v>50000</v>
      </c>
      <c r="H58" s="18"/>
      <c r="I58" s="19" t="s">
        <v>22</v>
      </c>
      <c r="J58" s="19" t="s">
        <v>44</v>
      </c>
    </row>
    <row r="59" spans="1:10" x14ac:dyDescent="0.25">
      <c r="A59" s="16" t="s">
        <v>12</v>
      </c>
      <c r="B59" s="17" t="s">
        <v>77</v>
      </c>
      <c r="C59" s="18">
        <f>SUM($G$59*C4)</f>
        <v>10000</v>
      </c>
      <c r="D59" s="18">
        <f t="shared" ref="D59:F59" si="29">SUM($G$59*D4)</f>
        <v>8235.2941176470595</v>
      </c>
      <c r="E59" s="18">
        <f t="shared" si="29"/>
        <v>2058.8235294117649</v>
      </c>
      <c r="F59" s="18">
        <f t="shared" si="29"/>
        <v>4705.8823529411766</v>
      </c>
      <c r="G59" s="18">
        <v>25000</v>
      </c>
      <c r="H59" s="18"/>
      <c r="I59" s="19" t="s">
        <v>22</v>
      </c>
      <c r="J59" s="19" t="s">
        <v>44</v>
      </c>
    </row>
    <row r="60" spans="1:10" x14ac:dyDescent="0.25">
      <c r="A60" s="16" t="s">
        <v>12</v>
      </c>
      <c r="B60" s="17" t="s">
        <v>78</v>
      </c>
      <c r="C60" s="18">
        <f>G60</f>
        <v>200000</v>
      </c>
      <c r="D60" s="18"/>
      <c r="E60" s="18"/>
      <c r="F60" s="18"/>
      <c r="G60" s="18">
        <v>200000</v>
      </c>
      <c r="H60" s="18"/>
      <c r="I60" s="19" t="s">
        <v>22</v>
      </c>
      <c r="J60" s="19" t="s">
        <v>44</v>
      </c>
    </row>
    <row r="61" spans="1:10" x14ac:dyDescent="0.25">
      <c r="A61" s="16" t="s">
        <v>12</v>
      </c>
      <c r="B61" s="17" t="s">
        <v>79</v>
      </c>
      <c r="C61" s="18">
        <f>SUM($G$61*C4)</f>
        <v>68000</v>
      </c>
      <c r="D61" s="18">
        <f t="shared" ref="D61:F61" si="30">SUM($G$61*D4)</f>
        <v>56000</v>
      </c>
      <c r="E61" s="18">
        <f t="shared" si="30"/>
        <v>14000</v>
      </c>
      <c r="F61" s="18">
        <f t="shared" si="30"/>
        <v>32000</v>
      </c>
      <c r="G61" s="18">
        <v>170000</v>
      </c>
      <c r="H61" s="18"/>
      <c r="I61" s="19" t="s">
        <v>22</v>
      </c>
      <c r="J61" s="19" t="s">
        <v>44</v>
      </c>
    </row>
    <row r="62" spans="1:10" x14ac:dyDescent="0.25">
      <c r="A62" s="16" t="s">
        <v>12</v>
      </c>
      <c r="B62" s="17" t="s">
        <v>80</v>
      </c>
      <c r="C62" s="18">
        <v>250000</v>
      </c>
      <c r="D62" s="18">
        <v>250000</v>
      </c>
      <c r="E62" s="18"/>
      <c r="F62" s="18"/>
      <c r="G62" s="18">
        <v>500000</v>
      </c>
      <c r="H62" s="18"/>
      <c r="I62" s="19" t="s">
        <v>22</v>
      </c>
      <c r="J62" s="19" t="s">
        <v>44</v>
      </c>
    </row>
    <row r="63" spans="1:10" x14ac:dyDescent="0.25">
      <c r="A63" s="16" t="s">
        <v>12</v>
      </c>
      <c r="B63" s="17" t="s">
        <v>81</v>
      </c>
      <c r="C63" s="18">
        <v>50000</v>
      </c>
      <c r="D63" s="18">
        <v>50000</v>
      </c>
      <c r="E63" s="18"/>
      <c r="F63" s="18"/>
      <c r="G63" s="18">
        <v>100000</v>
      </c>
      <c r="H63" s="18"/>
      <c r="I63" s="19" t="s">
        <v>22</v>
      </c>
      <c r="J63" s="19" t="s">
        <v>44</v>
      </c>
    </row>
    <row r="64" spans="1:10" x14ac:dyDescent="0.25">
      <c r="A64" s="16" t="s">
        <v>12</v>
      </c>
      <c r="B64" s="17" t="s">
        <v>82</v>
      </c>
      <c r="C64" s="18">
        <v>165000</v>
      </c>
      <c r="D64" s="18">
        <v>165000</v>
      </c>
      <c r="E64" s="18"/>
      <c r="F64" s="18"/>
      <c r="G64" s="18">
        <v>330000</v>
      </c>
      <c r="H64" s="18"/>
      <c r="I64" s="19" t="s">
        <v>22</v>
      </c>
      <c r="J64" s="19" t="s">
        <v>44</v>
      </c>
    </row>
    <row r="65" spans="1:10" x14ac:dyDescent="0.25">
      <c r="A65" s="16" t="s">
        <v>12</v>
      </c>
      <c r="B65" s="17" t="s">
        <v>83</v>
      </c>
      <c r="C65" s="18"/>
      <c r="D65" s="18"/>
      <c r="E65" s="18"/>
      <c r="F65" s="26"/>
      <c r="G65" s="18"/>
      <c r="H65" s="18"/>
      <c r="I65" s="19" t="s">
        <v>22</v>
      </c>
      <c r="J65" s="19" t="s">
        <v>44</v>
      </c>
    </row>
    <row r="66" spans="1:10" x14ac:dyDescent="0.25">
      <c r="A66" s="27" t="s">
        <v>84</v>
      </c>
      <c r="B66" s="28" t="s">
        <v>85</v>
      </c>
      <c r="C66" s="29"/>
      <c r="D66" s="29"/>
      <c r="E66" s="29"/>
      <c r="F66" s="29"/>
      <c r="G66" s="29"/>
      <c r="H66" s="30"/>
      <c r="I66" s="19" t="s">
        <v>86</v>
      </c>
      <c r="J66" s="19" t="s">
        <v>34</v>
      </c>
    </row>
    <row r="67" spans="1:10" x14ac:dyDescent="0.25">
      <c r="A67" s="27" t="s">
        <v>84</v>
      </c>
      <c r="B67" s="28" t="s">
        <v>87</v>
      </c>
      <c r="C67" s="29"/>
      <c r="D67" s="29"/>
      <c r="E67" s="29"/>
      <c r="F67" s="29"/>
      <c r="G67" s="29"/>
      <c r="H67" s="30"/>
      <c r="I67" s="19" t="s">
        <v>86</v>
      </c>
      <c r="J67" s="19" t="s">
        <v>34</v>
      </c>
    </row>
    <row r="68" spans="1:10" x14ac:dyDescent="0.25">
      <c r="A68" s="27" t="s">
        <v>84</v>
      </c>
      <c r="B68" s="28" t="s">
        <v>88</v>
      </c>
      <c r="C68" s="29">
        <v>100000</v>
      </c>
      <c r="D68" s="29"/>
      <c r="E68" s="29"/>
      <c r="F68" s="29"/>
      <c r="G68" s="29">
        <v>100000</v>
      </c>
      <c r="H68" s="30"/>
      <c r="I68" s="19" t="s">
        <v>86</v>
      </c>
      <c r="J68" s="19" t="s">
        <v>34</v>
      </c>
    </row>
    <row r="69" spans="1:10" x14ac:dyDescent="0.25">
      <c r="A69" s="27" t="s">
        <v>84</v>
      </c>
      <c r="B69" s="28" t="s">
        <v>89</v>
      </c>
      <c r="C69" s="30"/>
      <c r="D69" s="30"/>
      <c r="E69" s="30"/>
      <c r="F69" s="31"/>
      <c r="G69" s="29"/>
      <c r="H69" s="30"/>
      <c r="I69" s="19" t="s">
        <v>90</v>
      </c>
      <c r="J69" s="19" t="s">
        <v>91</v>
      </c>
    </row>
    <row r="70" spans="1:10" x14ac:dyDescent="0.25">
      <c r="A70" s="27" t="s">
        <v>84</v>
      </c>
      <c r="B70" s="28" t="s">
        <v>92</v>
      </c>
      <c r="C70" s="30"/>
      <c r="D70" s="30"/>
      <c r="E70" s="30"/>
      <c r="F70" s="31"/>
      <c r="G70" s="29"/>
      <c r="H70" s="30"/>
      <c r="I70" s="19" t="s">
        <v>90</v>
      </c>
      <c r="J70" s="19" t="s">
        <v>15</v>
      </c>
    </row>
    <row r="71" spans="1:10" x14ac:dyDescent="0.25">
      <c r="A71" s="27" t="s">
        <v>84</v>
      </c>
      <c r="B71" s="28" t="s">
        <v>93</v>
      </c>
      <c r="C71" s="29"/>
      <c r="D71" s="29"/>
      <c r="E71" s="29"/>
      <c r="F71" s="29"/>
      <c r="G71" s="29"/>
      <c r="H71" s="30"/>
      <c r="I71" s="19" t="s">
        <v>90</v>
      </c>
      <c r="J71" s="19" t="s">
        <v>15</v>
      </c>
    </row>
    <row r="72" spans="1:10" x14ac:dyDescent="0.25">
      <c r="A72" s="27" t="s">
        <v>84</v>
      </c>
      <c r="B72" s="28" t="s">
        <v>94</v>
      </c>
      <c r="C72" s="29">
        <v>75000</v>
      </c>
      <c r="D72" s="29">
        <v>7500</v>
      </c>
      <c r="E72" s="29">
        <v>22500</v>
      </c>
      <c r="F72" s="29">
        <v>60000</v>
      </c>
      <c r="G72" s="29">
        <f>SUM(C72:F72)</f>
        <v>165000</v>
      </c>
      <c r="H72" s="30"/>
      <c r="I72" s="19" t="s">
        <v>90</v>
      </c>
      <c r="J72" s="19" t="s">
        <v>34</v>
      </c>
    </row>
    <row r="73" spans="1:10" x14ac:dyDescent="0.25">
      <c r="A73" s="27" t="s">
        <v>84</v>
      </c>
      <c r="B73" s="28" t="s">
        <v>95</v>
      </c>
      <c r="C73" s="29">
        <v>60000</v>
      </c>
      <c r="D73" s="29">
        <v>40000</v>
      </c>
      <c r="E73" s="29"/>
      <c r="F73" s="29"/>
      <c r="G73" s="29">
        <v>100000</v>
      </c>
      <c r="H73" s="30"/>
      <c r="I73" s="19" t="s">
        <v>86</v>
      </c>
      <c r="J73" s="19" t="s">
        <v>34</v>
      </c>
    </row>
    <row r="74" spans="1:10" x14ac:dyDescent="0.25">
      <c r="A74" s="27" t="s">
        <v>84</v>
      </c>
      <c r="B74" s="28" t="s">
        <v>96</v>
      </c>
      <c r="C74" s="29">
        <v>30000</v>
      </c>
      <c r="D74" s="29">
        <v>33000</v>
      </c>
      <c r="E74" s="29">
        <v>6000</v>
      </c>
      <c r="F74" s="29">
        <v>9000</v>
      </c>
      <c r="G74" s="29">
        <f>SUM(C74:F74)</f>
        <v>78000</v>
      </c>
      <c r="H74" s="30"/>
      <c r="I74" s="19" t="s">
        <v>90</v>
      </c>
      <c r="J74" s="19" t="s">
        <v>34</v>
      </c>
    </row>
    <row r="75" spans="1:10" x14ac:dyDescent="0.25">
      <c r="A75" s="27" t="s">
        <v>84</v>
      </c>
      <c r="B75" s="28" t="s">
        <v>97</v>
      </c>
      <c r="C75" s="29"/>
      <c r="D75" s="29"/>
      <c r="E75" s="29"/>
      <c r="F75" s="29"/>
      <c r="G75" s="29"/>
      <c r="H75" s="30"/>
      <c r="I75" s="19" t="s">
        <v>90</v>
      </c>
      <c r="J75" s="19" t="s">
        <v>15</v>
      </c>
    </row>
    <row r="76" spans="1:10" x14ac:dyDescent="0.25">
      <c r="A76" s="27" t="s">
        <v>84</v>
      </c>
      <c r="B76" s="28" t="s">
        <v>98</v>
      </c>
      <c r="C76" s="29"/>
      <c r="D76" s="29"/>
      <c r="E76" s="29"/>
      <c r="F76" s="29"/>
      <c r="G76" s="29"/>
      <c r="H76" s="30"/>
      <c r="I76" s="19" t="s">
        <v>90</v>
      </c>
      <c r="J76" s="19" t="s">
        <v>34</v>
      </c>
    </row>
    <row r="77" spans="1:10" x14ac:dyDescent="0.25">
      <c r="A77" s="27" t="s">
        <v>84</v>
      </c>
      <c r="B77" s="28" t="s">
        <v>99</v>
      </c>
      <c r="C77" s="29"/>
      <c r="D77" s="29"/>
      <c r="E77" s="29"/>
      <c r="F77" s="29"/>
      <c r="G77" s="29"/>
      <c r="H77" s="30"/>
      <c r="I77" s="19" t="s">
        <v>90</v>
      </c>
      <c r="J77" s="19" t="s">
        <v>34</v>
      </c>
    </row>
    <row r="78" spans="1:10" x14ac:dyDescent="0.25">
      <c r="A78" s="27" t="s">
        <v>84</v>
      </c>
      <c r="B78" s="28" t="s">
        <v>100</v>
      </c>
      <c r="C78" s="29"/>
      <c r="D78" s="29"/>
      <c r="E78" s="29"/>
      <c r="F78" s="29"/>
      <c r="G78" s="29"/>
      <c r="H78" s="30"/>
      <c r="I78" s="19" t="s">
        <v>90</v>
      </c>
      <c r="J78" s="19" t="s">
        <v>15</v>
      </c>
    </row>
    <row r="79" spans="1:10" x14ac:dyDescent="0.25">
      <c r="A79" s="27" t="s">
        <v>84</v>
      </c>
      <c r="B79" s="28" t="s">
        <v>101</v>
      </c>
      <c r="C79" s="29"/>
      <c r="D79" s="29"/>
      <c r="E79" s="29"/>
      <c r="F79" s="29"/>
      <c r="G79" s="29"/>
      <c r="H79" s="30"/>
      <c r="I79" s="19" t="s">
        <v>90</v>
      </c>
      <c r="J79" s="19" t="s">
        <v>44</v>
      </c>
    </row>
    <row r="80" spans="1:10" x14ac:dyDescent="0.25">
      <c r="A80" s="27" t="s">
        <v>84</v>
      </c>
      <c r="B80" s="28" t="s">
        <v>102</v>
      </c>
      <c r="C80" s="29">
        <v>13800</v>
      </c>
      <c r="D80" s="29">
        <v>24000</v>
      </c>
      <c r="E80" s="29">
        <v>3600</v>
      </c>
      <c r="F80" s="29">
        <v>1800</v>
      </c>
      <c r="G80" s="29">
        <f>SUM(C80:F80)</f>
        <v>43200</v>
      </c>
      <c r="H80" s="30"/>
      <c r="I80" s="19" t="s">
        <v>90</v>
      </c>
      <c r="J80" s="19" t="s">
        <v>44</v>
      </c>
    </row>
    <row r="81" spans="1:10" x14ac:dyDescent="0.25">
      <c r="A81" s="27" t="s">
        <v>84</v>
      </c>
      <c r="B81" s="28" t="s">
        <v>103</v>
      </c>
      <c r="C81" s="29"/>
      <c r="D81" s="29"/>
      <c r="E81" s="29"/>
      <c r="F81" s="29"/>
      <c r="G81" s="29"/>
      <c r="H81" s="30"/>
      <c r="I81" s="19" t="s">
        <v>90</v>
      </c>
      <c r="J81" s="19" t="s">
        <v>41</v>
      </c>
    </row>
    <row r="82" spans="1:10" x14ac:dyDescent="0.25">
      <c r="A82" s="27" t="s">
        <v>84</v>
      </c>
      <c r="B82" s="28" t="s">
        <v>104</v>
      </c>
      <c r="C82" s="29"/>
      <c r="D82" s="29"/>
      <c r="E82" s="29"/>
      <c r="F82" s="29"/>
      <c r="G82" s="29"/>
      <c r="H82" s="30"/>
      <c r="I82" s="19" t="s">
        <v>90</v>
      </c>
      <c r="J82" s="19" t="s">
        <v>44</v>
      </c>
    </row>
    <row r="83" spans="1:10" x14ac:dyDescent="0.25">
      <c r="A83" s="27" t="s">
        <v>84</v>
      </c>
      <c r="B83" s="28" t="s">
        <v>105</v>
      </c>
      <c r="C83" s="29"/>
      <c r="D83" s="29"/>
      <c r="E83" s="29"/>
      <c r="F83" s="29"/>
      <c r="G83" s="29"/>
      <c r="H83" s="30"/>
      <c r="I83" s="19" t="s">
        <v>90</v>
      </c>
      <c r="J83" s="19" t="s">
        <v>34</v>
      </c>
    </row>
    <row r="84" spans="1:10" x14ac:dyDescent="0.25">
      <c r="A84" s="27" t="s">
        <v>84</v>
      </c>
      <c r="B84" s="28" t="s">
        <v>106</v>
      </c>
      <c r="C84" s="29"/>
      <c r="D84" s="29"/>
      <c r="E84" s="29"/>
      <c r="F84" s="29"/>
      <c r="G84" s="29"/>
      <c r="H84" s="30"/>
      <c r="I84" s="19" t="s">
        <v>90</v>
      </c>
      <c r="J84" s="19" t="s">
        <v>44</v>
      </c>
    </row>
    <row r="85" spans="1:10" x14ac:dyDescent="0.25">
      <c r="A85" s="27" t="s">
        <v>84</v>
      </c>
      <c r="B85" s="28" t="s">
        <v>107</v>
      </c>
      <c r="C85" s="29"/>
      <c r="D85" s="29"/>
      <c r="E85" s="29"/>
      <c r="F85" s="29"/>
      <c r="G85" s="29"/>
      <c r="H85" s="30"/>
      <c r="I85" s="19" t="s">
        <v>90</v>
      </c>
      <c r="J85" s="19" t="s">
        <v>44</v>
      </c>
    </row>
    <row r="86" spans="1:10" x14ac:dyDescent="0.25">
      <c r="A86" s="27" t="s">
        <v>84</v>
      </c>
      <c r="B86" s="28" t="s">
        <v>108</v>
      </c>
      <c r="C86" s="29"/>
      <c r="D86" s="29"/>
      <c r="E86" s="29"/>
      <c r="F86" s="29"/>
      <c r="G86" s="29"/>
      <c r="H86" s="30"/>
      <c r="I86" s="19" t="s">
        <v>90</v>
      </c>
      <c r="J86" s="19" t="s">
        <v>44</v>
      </c>
    </row>
    <row r="87" spans="1:10" x14ac:dyDescent="0.25">
      <c r="A87" s="27" t="s">
        <v>84</v>
      </c>
      <c r="B87" s="28" t="s">
        <v>109</v>
      </c>
      <c r="C87" s="29"/>
      <c r="D87" s="29"/>
      <c r="E87" s="29"/>
      <c r="F87" s="29"/>
      <c r="G87" s="29"/>
      <c r="H87" s="30"/>
      <c r="I87" s="19" t="s">
        <v>90</v>
      </c>
      <c r="J87" s="19" t="s">
        <v>44</v>
      </c>
    </row>
    <row r="88" spans="1:10" x14ac:dyDescent="0.25">
      <c r="A88" s="32" t="s">
        <v>84</v>
      </c>
      <c r="B88" s="33" t="s">
        <v>110</v>
      </c>
      <c r="C88" s="30">
        <f>G88</f>
        <v>300000</v>
      </c>
      <c r="D88" s="30"/>
      <c r="E88" s="30"/>
      <c r="F88" s="30"/>
      <c r="G88" s="30">
        <v>300000</v>
      </c>
      <c r="H88" s="30"/>
      <c r="I88" s="19" t="s">
        <v>90</v>
      </c>
      <c r="J88" s="19" t="s">
        <v>44</v>
      </c>
    </row>
    <row r="89" spans="1:10" x14ac:dyDescent="0.25">
      <c r="A89" s="32" t="s">
        <v>84</v>
      </c>
      <c r="B89" s="33" t="s">
        <v>111</v>
      </c>
      <c r="C89" s="30">
        <v>300000</v>
      </c>
      <c r="D89" s="30"/>
      <c r="E89" s="30"/>
      <c r="F89" s="30"/>
      <c r="G89" s="30">
        <v>300000</v>
      </c>
      <c r="H89" s="30"/>
      <c r="I89" s="19" t="s">
        <v>90</v>
      </c>
      <c r="J89" s="19" t="s">
        <v>44</v>
      </c>
    </row>
    <row r="90" spans="1:10" x14ac:dyDescent="0.25">
      <c r="A90" s="27" t="s">
        <v>84</v>
      </c>
      <c r="B90" s="28" t="s">
        <v>112</v>
      </c>
      <c r="C90" s="29"/>
      <c r="D90" s="29"/>
      <c r="E90" s="29"/>
      <c r="F90" s="29"/>
      <c r="G90" s="29"/>
      <c r="H90" s="30"/>
      <c r="I90" s="19" t="s">
        <v>90</v>
      </c>
      <c r="J90" s="19" t="s">
        <v>15</v>
      </c>
    </row>
    <row r="91" spans="1:10" x14ac:dyDescent="0.25">
      <c r="A91" s="27" t="s">
        <v>84</v>
      </c>
      <c r="B91" s="28" t="s">
        <v>113</v>
      </c>
      <c r="C91" s="29">
        <f>SUM($G$91*C4)</f>
        <v>160000</v>
      </c>
      <c r="D91" s="29">
        <f>SUM($G$91*D4)</f>
        <v>131764.70588235295</v>
      </c>
      <c r="E91" s="29">
        <f>SUM($G$91*E4)</f>
        <v>32941.176470588238</v>
      </c>
      <c r="F91" s="29">
        <f>SUM($G$91*F4)</f>
        <v>75294.117647058825</v>
      </c>
      <c r="G91" s="29">
        <v>400000</v>
      </c>
      <c r="H91" s="30"/>
      <c r="I91" s="19" t="s">
        <v>90</v>
      </c>
      <c r="J91" s="19" t="s">
        <v>44</v>
      </c>
    </row>
    <row r="92" spans="1:10" ht="15.75" thickBot="1" x14ac:dyDescent="0.3">
      <c r="A92" s="27" t="s">
        <v>84</v>
      </c>
      <c r="B92" s="34" t="s">
        <v>114</v>
      </c>
      <c r="C92" s="35">
        <f>SUM($G$92*C4)</f>
        <v>320000</v>
      </c>
      <c r="D92" s="35">
        <f>SUM($G$92*D4)</f>
        <v>263529.4117647059</v>
      </c>
      <c r="E92" s="35">
        <f>SUM($G$92*E4)</f>
        <v>65882.352941176476</v>
      </c>
      <c r="F92" s="35">
        <f>SUM($G$92*F4)</f>
        <v>150588.23529411765</v>
      </c>
      <c r="G92" s="35">
        <v>800000</v>
      </c>
      <c r="H92" s="36"/>
      <c r="I92" s="19" t="s">
        <v>90</v>
      </c>
      <c r="J92" s="19" t="s">
        <v>44</v>
      </c>
    </row>
    <row r="93" spans="1:10" x14ac:dyDescent="0.25">
      <c r="C93" s="38">
        <f t="shared" ref="C93:F93" si="31">SUM(C5:C92)</f>
        <v>5271078.6376811592</v>
      </c>
      <c r="D93" s="38">
        <f t="shared" si="31"/>
        <v>2984020.4075021311</v>
      </c>
      <c r="E93" s="38">
        <f t="shared" si="31"/>
        <v>611450.60187553277</v>
      </c>
      <c r="F93" s="38">
        <f t="shared" si="31"/>
        <v>1298382.3529411766</v>
      </c>
      <c r="G93" s="38">
        <f>SUM(G5:G92)</f>
        <v>10164932</v>
      </c>
    </row>
    <row r="94" spans="1:10" x14ac:dyDescent="0.25">
      <c r="I94" s="39"/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Emirates Food Industries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Saxena</dc:creator>
  <cp:lastModifiedBy>Deepak Saxena</cp:lastModifiedBy>
  <cp:lastPrinted>2026-01-11T20:57:00Z</cp:lastPrinted>
  <dcterms:created xsi:type="dcterms:W3CDTF">2026-01-11T20:40:29Z</dcterms:created>
  <dcterms:modified xsi:type="dcterms:W3CDTF">2026-01-11T20:58:14Z</dcterms:modified>
</cp:coreProperties>
</file>